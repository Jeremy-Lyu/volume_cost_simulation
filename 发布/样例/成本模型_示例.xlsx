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假设" sheetId="2" state="visible" r:id="rId2"/>
    <sheet xmlns:r="http://schemas.openxmlformats.org/officeDocument/2006/relationships" name="基数" sheetId="3" state="visible" r:id="rId3"/>
    <sheet xmlns:r="http://schemas.openxmlformats.org/officeDocument/2006/relationships" name="派生" sheetId="4" state="visible" r:id="rId4"/>
    <sheet xmlns:r="http://schemas.openxmlformats.org/officeDocument/2006/relationships" name="求解结果" sheetId="5" state="visible" r:id="rId5"/>
    <sheet xmlns:r="http://schemas.openxmlformats.org/officeDocument/2006/relationships" name="桥" sheetId="6" state="visible" r:id="rId6"/>
  </sheets>
  <definedNames>
    <definedName name="_xlnm._FilterDatabase" localSheetId="1" hidden="1">'假设'!$A$3:$D$9</definedName>
    <definedName name="_xlnm._FilterDatabase" localSheetId="5" hidden="1">'桥'!$A$3:$D$7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#,##0.00;(#,##0.00);&quot;-&quot;"/>
    <numFmt numFmtId="165" formatCode="#,##0;(#,##0);&quot;-&quot;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6"/>
    </font>
    <font>
      <name val="Arial"/>
      <color rgb="00000000"/>
      <sz val="11"/>
    </font>
    <font>
      <name val="Arial"/>
      <color rgb="000000FF"/>
      <sz val="11"/>
    </font>
    <font>
      <name val="Arial"/>
      <color rgb="00008000"/>
      <sz val="11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6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164" fontId="4" fillId="2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2" fontId="4" fillId="2" borderId="1" applyAlignment="1" pivotButton="0" quotePrefix="0" xfId="0">
      <alignment vertical="center"/>
    </xf>
    <xf numFmtId="166" fontId="4" fillId="2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口径</author>
  </authors>
  <commentList>
    <comment ref="B4" authorId="0" shapeId="0">
      <text>
        <t>示例输入。改这格，派生和桥会重算。</t>
      </text>
    </comment>
    <comment ref="B5" authorId="0" shapeId="0">
      <text>
        <t>示例输入。改这格，派生和桥会重算。</t>
      </text>
    </comment>
    <comment ref="B6" authorId="0" shapeId="0">
      <text>
        <t>示例输入。改这格，派生和桥会重算。</t>
      </text>
    </comment>
    <comment ref="B7" authorId="0" shapeId="0">
      <text>
        <t>示例输入。改这格，派生和桥会重算。</t>
      </text>
    </comment>
    <comment ref="B8" authorId="0" shapeId="0">
      <text>
        <t>示例输入。改这格，派生和桥会重算。</t>
      </text>
    </comment>
    <comment ref="B9" authorId="0" shapeId="0">
      <text>
        <t>示例输入。改这格，派生和桥会重算。</t>
      </text>
    </comment>
  </commentList>
</comments>
</file>

<file path=xl/comments/comment2.xml><?xml version="1.0" encoding="utf-8"?>
<comments xmlns="http://schemas.openxmlformats.org/spreadsheetml/2006/main">
  <authors>
    <author>口径</author>
  </authors>
  <commentList>
    <comment ref="B4" authorId="0" shapeId="0">
      <text>
        <t>引自已发布样例。改这格只改本表的桥，不重跑求解器。</t>
      </text>
    </comment>
    <comment ref="B5" authorId="0" shapeId="0">
      <text>
        <t>引自已发布样例。改这格只改本表的桥，不重跑求解器。</t>
      </text>
    </comment>
    <comment ref="B6" authorId="0" shapeId="0">
      <text>
        <t>引自已发布样例。改这格只改本表的桥，不重跑求解器。</t>
      </text>
    </comment>
    <comment ref="B7" authorId="0" shapeId="0">
      <text>
        <t>引自已发布样例。改这格只改本表的桥，不重跑求解器。</t>
      </text>
    </comment>
    <comment ref="B8" authorId="0" shapeId="0">
      <text>
        <t>引自已发布样例。改这格只改本表的桥，不重跑求解器。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16"/>
  <sheetViews>
    <sheetView showGridLines="0" zoomScale="12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22" customWidth="1" min="5" max="5"/>
    <col width="36" customWidth="1" min="6" max="6"/>
  </cols>
  <sheetData>
    <row r="1">
      <c r="A1" s="1" t="inlineStr">
        <is>
          <t>产量成本模型（示例）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对外一句</t>
        </is>
      </c>
      <c r="B3" s="2" t="n"/>
      <c r="C3" s="2" t="n"/>
      <c r="D3" s="2" t="n"/>
      <c r="E3" s="2" t="n"/>
      <c r="F3" s="2" t="n"/>
    </row>
    <row r="4" ht="22" customHeight="1">
      <c r="A4" s="4" t="inlineStr">
        <is>
          <t>示例配置包下，基准总成本 44,287 万元、12 万台、单车 3,691 元。旺季四个月需求 +15% 时，运营成本比基准 44,289 万元多 1,897 万元，多交付 6,525 台。借调净额未验证，不写入节约。</t>
        </is>
      </c>
      <c r="B4" s="2" t="n"/>
      <c r="C4" s="2" t="n"/>
      <c r="D4" s="2" t="n"/>
      <c r="E4" s="2" t="n"/>
      <c r="F4" s="2" t="n"/>
    </row>
    <row r="5" ht="22" customHeight="1">
      <c r="A5" s="2" t="n"/>
      <c r="B5" s="2" t="n"/>
      <c r="C5" s="2" t="n"/>
      <c r="D5" s="2" t="n"/>
      <c r="E5" s="2" t="n"/>
      <c r="F5" s="2" t="n"/>
    </row>
    <row r="6" ht="22" customHeight="1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3" t="inlineStr">
        <is>
          <t>颜色</t>
        </is>
      </c>
      <c r="B8" s="3" t="inlineStr">
        <is>
          <t>意思</t>
        </is>
      </c>
      <c r="C8" s="2" t="n"/>
      <c r="D8" s="2" t="n"/>
      <c r="E8" s="2" t="n"/>
      <c r="F8" s="2" t="n"/>
    </row>
    <row r="9">
      <c r="A9" s="5" t="inlineStr">
        <is>
          <t>蓝字、黄底</t>
        </is>
      </c>
      <c r="B9" s="5" t="inlineStr">
        <is>
          <t>输入。改这里，后面的公式会变。求解结果也放在这里：本表不重新求解。</t>
        </is>
      </c>
      <c r="C9" s="2" t="n"/>
      <c r="D9" s="2" t="n"/>
      <c r="E9" s="2" t="n"/>
      <c r="F9" s="2" t="n"/>
    </row>
    <row r="10">
      <c r="A10" s="5" t="inlineStr">
        <is>
          <t>黑字</t>
        </is>
      </c>
      <c r="B10" s="5" t="inlineStr">
        <is>
          <t>本表算出来的公式。</t>
        </is>
      </c>
      <c r="C10" s="2" t="n"/>
      <c r="D10" s="2" t="n"/>
      <c r="E10" s="2" t="n"/>
      <c r="F10" s="2" t="n"/>
    </row>
    <row r="11">
      <c r="A11" s="5" t="inlineStr">
        <is>
          <t>绿字</t>
        </is>
      </c>
      <c r="B11" s="5" t="inlineStr">
        <is>
          <t>引用另一张表的公式。</t>
        </is>
      </c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本表算什么</t>
        </is>
      </c>
      <c r="B13" s="2" t="n"/>
      <c r="C13" s="2" t="n"/>
      <c r="D13" s="2" t="n"/>
      <c r="E13" s="2" t="n"/>
      <c r="F13" s="2" t="n"/>
    </row>
    <row r="14">
      <c r="A14" s="4" t="inlineStr">
        <is>
          <t>10 月需求合计、固定制造费用、加班单价、停工可省比例，用公式从假设算。基准总成本和旺季运营成本是引自样例的输入。单车和旺季差额用公式桥接。配置包 TZ-cfg-2026.10-示例。不能当成工厂实绩。</t>
        </is>
      </c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</sheetData>
  <mergeCells count="5">
    <mergeCell ref="A14:F16"/>
    <mergeCell ref="B10:F10"/>
    <mergeCell ref="B11:F11"/>
    <mergeCell ref="A4:F6"/>
    <mergeCell ref="B9:F9"/>
  </mergeCells>
  <pageMargins left="0.5" right="0.5" top="0.7" bottom="0.6" header="0.5" footer="0.5"/>
  <pageSetup orientation="landscape" paperSize="9" fitToHeight="1" fitToWidth="1"/>
  <headerFooter>
    <oddHeader>&amp;L产量成本模拟 · 示例&amp;C封面</oddHeader>
    <oddFooter>&amp;LTZ-cfg-2026.10-示例 · 示例数据，不是工厂实绩&amp;R第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9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62" customWidth="1" min="4" max="4"/>
  </cols>
  <sheetData>
    <row r="1">
      <c r="A1" s="1" t="inlineStr">
        <is>
          <t>假设（示例，标 ⚠ 的尚未确认）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项</t>
        </is>
      </c>
      <c r="B3" s="3" t="inlineStr">
        <is>
          <t>值</t>
        </is>
      </c>
      <c r="C3" s="3" t="inlineStr">
        <is>
          <t>单位</t>
        </is>
      </c>
      <c r="D3" s="3" t="inlineStr">
        <is>
          <t>来源</t>
        </is>
      </c>
    </row>
    <row r="4">
      <c r="A4" s="5" t="inlineStr">
        <is>
          <t>月薪</t>
        </is>
      </c>
      <c r="B4" s="6" t="n">
        <v>9000</v>
      </c>
      <c r="C4" s="5" t="inlineStr">
        <is>
          <t>元/人·月</t>
        </is>
      </c>
      <c r="D4" s="5" t="inlineStr">
        <is>
          <t>global_params.csv · wage_per_head_month · 示例</t>
        </is>
      </c>
    </row>
    <row r="5">
      <c r="A5" s="5" t="inlineStr">
        <is>
          <t>标准月工时</t>
        </is>
      </c>
      <c r="B5" s="7" t="n">
        <v>174</v>
      </c>
      <c r="C5" s="5" t="inlineStr">
        <is>
          <t>小时</t>
        </is>
      </c>
      <c r="D5" s="5" t="inlineStr">
        <is>
          <t>global_params.csv · std_hours_month · 示例</t>
        </is>
      </c>
    </row>
    <row r="6">
      <c r="A6" s="5" t="inlineStr">
        <is>
          <t>加班倍数</t>
        </is>
      </c>
      <c r="B6" s="8" t="n">
        <v>1.5</v>
      </c>
      <c r="C6" s="5" t="inlineStr">
        <is>
          <t>倍</t>
        </is>
      </c>
      <c r="D6" s="5" t="inlineStr">
        <is>
          <t>global_params.csv · ot_multiplier · 示例</t>
        </is>
      </c>
    </row>
    <row r="7">
      <c r="A7" s="5" t="inlineStr">
        <is>
          <t>派遣加临时工占比</t>
        </is>
      </c>
      <c r="B7" s="9" t="n">
        <v>0.2</v>
      </c>
      <c r="C7" s="5" t="inlineStr"/>
      <c r="D7" s="5" t="inlineStr">
        <is>
          <t>labor_flex.csv · ⚠ 合计口径，不是法规派遣上限 10%</t>
        </is>
      </c>
    </row>
    <row r="8">
      <c r="A8" s="5" t="inlineStr">
        <is>
          <t>停工日正式工发薪</t>
        </is>
      </c>
      <c r="B8" s="9" t="n">
        <v>0.7</v>
      </c>
      <c r="C8" s="5" t="inlineStr"/>
      <c r="D8" s="5" t="inlineStr">
        <is>
          <t>labor_flex.csv · ⚠</t>
        </is>
      </c>
    </row>
    <row r="9">
      <c r="A9" s="5" t="inlineStr">
        <is>
          <t>停工日派遣发薪</t>
        </is>
      </c>
      <c r="B9" s="9" t="n">
        <v>0</v>
      </c>
      <c r="C9" s="5" t="inlineStr"/>
      <c r="D9" s="5" t="inlineStr">
        <is>
          <t>labor_flex.csv · ⚠</t>
        </is>
      </c>
    </row>
  </sheetData>
  <autoFilter ref="A3:D9"/>
  <pageMargins left="0.5" right="0.5" top="0.7" bottom="0.6" header="0.5" footer="0.5"/>
  <pageSetup orientation="landscape" paperSize="9" fitToHeight="1" fitToWidth="1"/>
  <headerFooter>
    <oddHeader>&amp;L产量成本模拟 · 示例&amp;C假设</oddHeader>
    <oddFooter>&amp;LTZ-cfg-2026.10-示例 · 示例数据，不是工厂实绩&amp;R第 &amp;P 页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17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6" customWidth="1" min="3" max="3"/>
  </cols>
  <sheetData>
    <row r="1">
      <c r="A1" s="1" t="inlineStr">
        <is>
          <t>基数（示例）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10 月需求</t>
        </is>
      </c>
      <c r="B3" s="2" t="n"/>
      <c r="C3" s="2" t="n"/>
    </row>
    <row r="4">
      <c r="A4" s="3" t="inlineStr">
        <is>
          <t>车型</t>
        </is>
      </c>
      <c r="B4" s="3" t="inlineStr">
        <is>
          <t>台</t>
        </is>
      </c>
      <c r="C4" s="3" t="inlineStr">
        <is>
          <t>来源</t>
        </is>
      </c>
    </row>
    <row r="5">
      <c r="A5" s="5" t="inlineStr">
        <is>
          <t>V446K</t>
        </is>
      </c>
      <c r="B5" s="7" t="n">
        <v>4620</v>
      </c>
      <c r="C5" s="5" t="inlineStr">
        <is>
          <t>demand.csv · month=10 · 示例</t>
        </is>
      </c>
    </row>
    <row r="6">
      <c r="A6" s="5" t="inlineStr">
        <is>
          <t>V451</t>
        </is>
      </c>
      <c r="B6" s="7" t="n">
        <v>3630</v>
      </c>
      <c r="C6" s="5" t="inlineStr">
        <is>
          <t>demand.csv · month=10 · 示例</t>
        </is>
      </c>
    </row>
    <row r="7">
      <c r="A7" s="5" t="inlineStr">
        <is>
          <t>V452</t>
        </is>
      </c>
      <c r="B7" s="7" t="n">
        <v>2750</v>
      </c>
      <c r="C7" s="5" t="inlineStr">
        <is>
          <t>demand.csv · month=10 · 示例</t>
        </is>
      </c>
    </row>
    <row r="8">
      <c r="A8" s="5" t="inlineStr">
        <is>
          <t>10 月合计</t>
        </is>
      </c>
      <c r="B8" s="10">
        <f>SUM(B5:B7)</f>
        <v/>
      </c>
      <c r="C8" s="5" t="inlineStr">
        <is>
          <t>三行相加。设计走读核对值 11,000</t>
        </is>
      </c>
    </row>
    <row r="9">
      <c r="A9" s="2" t="n"/>
      <c r="B9" s="2" t="n"/>
      <c r="C9" s="2" t="n"/>
    </row>
    <row r="10">
      <c r="A10" s="3" t="inlineStr">
        <is>
          <t>固定制造费用</t>
        </is>
      </c>
      <c r="B10" s="2" t="n"/>
      <c r="C10" s="2" t="n"/>
    </row>
    <row r="11">
      <c r="A11" s="3" t="inlineStr">
        <is>
          <t>车间</t>
        </is>
      </c>
      <c r="B11" s="3" t="inlineStr">
        <is>
          <t>元/月</t>
        </is>
      </c>
      <c r="C11" s="3" t="inlineStr">
        <is>
          <t>来源</t>
        </is>
      </c>
    </row>
    <row r="12">
      <c r="A12" s="5" t="inlineStr">
        <is>
          <t>冲压</t>
        </is>
      </c>
      <c r="B12" s="6" t="n">
        <v>1200000</v>
      </c>
      <c r="C12" s="5" t="inlineStr">
        <is>
          <t>shop_params.csv · oh_fixed_month · 示例</t>
        </is>
      </c>
    </row>
    <row r="13">
      <c r="A13" s="5" t="inlineStr">
        <is>
          <t>焊装</t>
        </is>
      </c>
      <c r="B13" s="6" t="n">
        <v>2000000</v>
      </c>
      <c r="C13" s="5" t="inlineStr">
        <is>
          <t>shop_params.csv · oh_fixed_month · 示例</t>
        </is>
      </c>
    </row>
    <row r="14">
      <c r="A14" s="5" t="inlineStr">
        <is>
          <t>涂装</t>
        </is>
      </c>
      <c r="B14" s="6" t="n">
        <v>2500000</v>
      </c>
      <c r="C14" s="5" t="inlineStr">
        <is>
          <t>shop_params.csv · oh_fixed_month · 示例</t>
        </is>
      </c>
    </row>
    <row r="15">
      <c r="A15" s="5" t="inlineStr">
        <is>
          <t>总装</t>
        </is>
      </c>
      <c r="B15" s="6" t="n">
        <v>2200000</v>
      </c>
      <c r="C15" s="5" t="inlineStr">
        <is>
          <t>shop_params.csv · oh_fixed_month · 示例</t>
        </is>
      </c>
    </row>
    <row r="16">
      <c r="A16" s="5" t="inlineStr">
        <is>
          <t>每月合计</t>
        </is>
      </c>
      <c r="B16" s="11">
        <f>SUM(B12:B15)</f>
        <v/>
      </c>
      <c r="C16" s="2" t="n"/>
    </row>
    <row r="17">
      <c r="A17" s="5" t="inlineStr">
        <is>
          <t>全年</t>
        </is>
      </c>
      <c r="B17" s="11">
        <f>B16*12</f>
        <v/>
      </c>
      <c r="C17" s="5" t="inlineStr">
        <is>
          <t>不随班次变。核对值 94,800,000 元 = 9,480 万元</t>
        </is>
      </c>
    </row>
  </sheetData>
  <pageMargins left="0.5" right="0.5" top="0.7" bottom="0.6" header="0.5" footer="0.5"/>
  <pageSetup orientation="landscape" paperSize="9" fitToHeight="1" fitToWidth="1"/>
  <headerFooter>
    <oddHeader>&amp;L产量成本模拟 · 示例&amp;C基数</oddHeader>
    <oddFooter>&amp;LTZ-cfg-2026.10-示例 · 示例数据，不是工厂实绩&amp;R第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5"/>
  <sheetViews>
    <sheetView showGridLines="0" zoomScale="12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8" customWidth="1" min="3" max="3"/>
  </cols>
  <sheetData>
    <row r="1">
      <c r="A1" s="1" t="inlineStr">
        <is>
          <t>由假设派生（公式）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项</t>
        </is>
      </c>
      <c r="B3" s="3" t="inlineStr">
        <is>
          <t>值</t>
        </is>
      </c>
      <c r="C3" s="3" t="inlineStr">
        <is>
          <t>公式在说什么</t>
        </is>
      </c>
    </row>
    <row r="4">
      <c r="A4" s="5" t="inlineStr">
        <is>
          <t>加班单价（元/小时）</t>
        </is>
      </c>
      <c r="B4" s="12">
        <f>假设!B4/假设!B5*假设!B6</f>
        <v/>
      </c>
      <c r="C4" s="5" t="inlineStr">
        <is>
          <t>月薪 ÷ 标准月工时 × 加班倍数。单独改一个名叫加班单价的格子不会进求解。</t>
        </is>
      </c>
    </row>
    <row r="5">
      <c r="A5" s="5" t="inlineStr">
        <is>
          <t>停工可省比例</t>
        </is>
      </c>
      <c r="B5" s="13">
        <f>假设!B7*(1-假设!B9)+(1-假设!B7)*(1-假设!B8)</f>
        <v/>
      </c>
      <c r="C5" s="5" t="inlineStr">
        <is>
          <t>派遣占比 × (1 − 派遣发薪) + 正式工占比 × (1 − 正式工发薪)。示例核对值 44.0%。⚠</t>
        </is>
      </c>
    </row>
  </sheetData>
  <pageMargins left="0.5" right="0.5" top="0.7" bottom="0.6" header="0.5" footer="0.5"/>
  <pageSetup orientation="landscape" paperSize="9" fitToHeight="1" fitToWidth="1"/>
  <headerFooter>
    <oddHeader>&amp;L产量成本模拟 · 示例&amp;C派生</oddHeader>
    <oddFooter>&amp;LTZ-cfg-2026.10-示例 · 示例数据，不是工厂实绩&amp;R第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2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62" customWidth="1" min="4" max="4"/>
  </cols>
  <sheetData>
    <row r="1">
      <c r="A1" s="1" t="inlineStr">
        <is>
          <t>求解结果（蓝色输入，本表不重解）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项</t>
        </is>
      </c>
      <c r="B3" s="3" t="inlineStr">
        <is>
          <t>值</t>
        </is>
      </c>
      <c r="C3" s="3" t="inlineStr">
        <is>
          <t>单位</t>
        </is>
      </c>
      <c r="D3" s="3" t="inlineStr">
        <is>
          <t>来源</t>
        </is>
      </c>
    </row>
    <row r="4">
      <c r="A4" s="5" t="inlineStr">
        <is>
          <t>基准总成本</t>
        </is>
      </c>
      <c r="B4" s="7" t="n">
        <v>44287</v>
      </c>
      <c r="C4" s="5" t="inlineStr">
        <is>
          <t>万元</t>
        </is>
      </c>
      <c r="D4" s="5" t="inlineStr">
        <is>
          <t>样例 results_summary.md · run.py 总成本 · 示例</t>
        </is>
      </c>
    </row>
    <row r="5">
      <c r="A5" s="5" t="inlineStr">
        <is>
          <t>基准产量</t>
        </is>
      </c>
      <c r="B5" s="7" t="n">
        <v>120000</v>
      </c>
      <c r="C5" s="5" t="inlineStr">
        <is>
          <t>台</t>
        </is>
      </c>
      <c r="D5" s="5" t="inlineStr">
        <is>
          <t>同上 · 年产量</t>
        </is>
      </c>
    </row>
    <row r="6">
      <c r="A6" s="5" t="inlineStr">
        <is>
          <t>基准运营成本</t>
        </is>
      </c>
      <c r="B6" s="7" t="n">
        <v>44289</v>
      </c>
      <c r="C6" s="5" t="inlineStr">
        <is>
          <t>万元</t>
        </is>
      </c>
      <c r="D6" s="5" t="inlineStr">
        <is>
          <t>案例解析 · 工作台决策卡 · 示例</t>
        </is>
      </c>
    </row>
    <row r="7">
      <c r="A7" s="5" t="inlineStr">
        <is>
          <t>旺季运营成本</t>
        </is>
      </c>
      <c r="B7" s="7" t="n">
        <v>46186</v>
      </c>
      <c r="C7" s="5" t="inlineStr">
        <is>
          <t>万元</t>
        </is>
      </c>
      <c r="D7" s="5" t="inlineStr">
        <is>
          <t>案例解析 · 场景「旺季冲量」· 示例</t>
        </is>
      </c>
    </row>
    <row r="8">
      <c r="A8" s="5" t="inlineStr">
        <is>
          <t>旺季产量</t>
        </is>
      </c>
      <c r="B8" s="7" t="n">
        <v>126525</v>
      </c>
      <c r="C8" s="5" t="inlineStr">
        <is>
          <t>台</t>
        </is>
      </c>
      <c r="D8" s="5" t="inlineStr">
        <is>
          <t>案例解析 · 120,000 + 6,525</t>
        </is>
      </c>
    </row>
    <row r="9">
      <c r="A9" s="2" t="n"/>
      <c r="B9" s="2" t="n"/>
      <c r="C9" s="2" t="n"/>
      <c r="D9" s="2" t="n"/>
    </row>
    <row r="10">
      <c r="A10" s="3" t="inlineStr">
        <is>
          <t>不要写进对外一句</t>
        </is>
      </c>
      <c r="B10" s="2" t="n"/>
      <c r="C10" s="2" t="n"/>
      <c r="D10" s="2" t="n"/>
    </row>
    <row r="11">
      <c r="A11" s="4" t="inlineStr">
        <is>
          <t>策略成本优先约 44,288 万元；权重扫描大约再差 9 万元；需求 −10% 运行 41,155 万元，手册旧基线 40,966 万元。借调净额约 −892 万元，未验证。</t>
        </is>
      </c>
      <c r="B11" s="2" t="n"/>
      <c r="C11" s="2" t="n"/>
      <c r="D11" s="2" t="n"/>
    </row>
    <row r="12">
      <c r="A12" s="2" t="n"/>
      <c r="B12" s="2" t="n"/>
      <c r="C12" s="2" t="n"/>
      <c r="D12" s="2" t="n"/>
    </row>
  </sheetData>
  <mergeCells count="1">
    <mergeCell ref="A11:D12"/>
  </mergeCells>
  <pageMargins left="0.5" right="0.5" top="0.7" bottom="0.6" header="0.5" footer="0.5"/>
  <pageSetup orientation="landscape" paperSize="9" fitToHeight="1" fitToWidth="1"/>
  <headerFooter>
    <oddHeader>&amp;L产量成本模拟 · 示例&amp;C求解结果</oddHeader>
    <oddFooter>&amp;LTZ-cfg-2026.10-示例 · 示例数据，不是工厂实绩&amp;R第 &amp;P 页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6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72" customWidth="1" min="4" max="4"/>
  </cols>
  <sheetData>
    <row r="1">
      <c r="A1" s="1" t="inlineStr">
        <is>
          <t>口径桥（公式）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项</t>
        </is>
      </c>
      <c r="B3" s="3" t="inlineStr">
        <is>
          <t>值</t>
        </is>
      </c>
      <c r="C3" s="3" t="inlineStr">
        <is>
          <t>单位</t>
        </is>
      </c>
      <c r="D3" s="3" t="inlineStr">
        <is>
          <t>怎么来的</t>
        </is>
      </c>
    </row>
    <row r="4">
      <c r="A4" s="5" t="inlineStr">
        <is>
          <t>基准单车</t>
        </is>
      </c>
      <c r="B4" s="14">
        <f>ROUND(求解结果!B4*10000/求解结果!B5,0)</f>
        <v/>
      </c>
      <c r="C4" s="5" t="inlineStr">
        <is>
          <t>元/台</t>
        </is>
      </c>
      <c r="D4" s="5" t="inlineStr">
        <is>
          <t>总成本（万元）× 10,000 ÷ 年产量，取整到元。核对值 3,691</t>
        </is>
      </c>
    </row>
    <row r="5">
      <c r="A5" s="5" t="inlineStr">
        <is>
          <t>旺季差额</t>
        </is>
      </c>
      <c r="B5" s="14">
        <f>求解结果!B7-求解结果!B6</f>
        <v/>
      </c>
      <c r="C5" s="5" t="inlineStr">
        <is>
          <t>万元</t>
        </is>
      </c>
      <c r="D5" s="5" t="inlineStr">
        <is>
          <t>旺季运营成本 − 基准运营成本。核对值 1,897</t>
        </is>
      </c>
    </row>
    <row r="6">
      <c r="A6" s="5" t="inlineStr">
        <is>
          <t>多交付</t>
        </is>
      </c>
      <c r="B6" s="14">
        <f>求解结果!B8-求解结果!B5</f>
        <v/>
      </c>
      <c r="C6" s="5" t="inlineStr">
        <is>
          <t>台</t>
        </is>
      </c>
      <c r="D6" s="5" t="inlineStr">
        <is>
          <t>旺季产量 − 基准产量。核对值 6,525</t>
        </is>
      </c>
    </row>
    <row r="7">
      <c r="A7" s="5" t="inlineStr">
        <is>
          <t>多交一台的成本</t>
        </is>
      </c>
      <c r="B7" s="10">
        <f>IF(B6=0,"-",ROUND(B5*10000/B6,0))</f>
        <v/>
      </c>
      <c r="C7" s="5" t="inlineStr">
        <is>
          <t>元/台</t>
        </is>
      </c>
      <c r="D7" s="5" t="inlineStr">
        <is>
          <t>差额换算成元再除以多交付台数。核对值 2,907。这是摊在增量上的成本，不是新的单车口径</t>
        </is>
      </c>
    </row>
    <row r="8">
      <c r="A8" s="2" t="n"/>
      <c r="B8" s="2" t="n"/>
      <c r="C8" s="2" t="n"/>
      <c r="D8" s="2" t="n"/>
    </row>
    <row r="9">
      <c r="A9" s="3" t="inlineStr">
        <is>
          <t>核对</t>
        </is>
      </c>
      <c r="B9" s="2" t="n"/>
      <c r="C9" s="2" t="n"/>
      <c r="D9" s="2" t="n"/>
    </row>
    <row r="10">
      <c r="A10" s="5" t="inlineStr">
        <is>
          <t>单车</t>
        </is>
      </c>
      <c r="B10" s="15">
        <f>IF(B4=3691,"一致","不一致")</f>
        <v/>
      </c>
      <c r="C10" s="2" t="n"/>
      <c r="D10" s="2" t="n"/>
    </row>
    <row r="11">
      <c r="A11" s="5" t="inlineStr">
        <is>
          <t>旺季差额</t>
        </is>
      </c>
      <c r="B11" s="15">
        <f>IF(B5=1897,"一致","不一致")</f>
        <v/>
      </c>
      <c r="C11" s="2" t="n"/>
      <c r="D11" s="2" t="n"/>
    </row>
    <row r="12">
      <c r="A12" s="5" t="inlineStr">
        <is>
          <t>多交付</t>
        </is>
      </c>
      <c r="B12" s="15">
        <f>IF(B6=6525,"一致","不一致")</f>
        <v/>
      </c>
      <c r="C12" s="2" t="n"/>
      <c r="D12" s="2" t="n"/>
    </row>
    <row r="13">
      <c r="A13" s="5" t="inlineStr">
        <is>
          <t>多交一台</t>
        </is>
      </c>
      <c r="B13" s="15">
        <f>IF(B7=2907,"一致","不一致")</f>
        <v/>
      </c>
      <c r="C13" s="2" t="n"/>
      <c r="D13" s="2" t="n"/>
    </row>
    <row r="14">
      <c r="A14" s="5" t="inlineStr">
        <is>
          <t>10月需求</t>
        </is>
      </c>
      <c r="B14" s="16">
        <f>IF(基数!B8=11000,"一致","不一致")</f>
        <v/>
      </c>
      <c r="C14" s="2" t="n"/>
      <c r="D14" s="2" t="n"/>
    </row>
    <row r="15">
      <c r="A15" s="5" t="inlineStr">
        <is>
          <t>全年固定费用</t>
        </is>
      </c>
      <c r="B15" s="16">
        <f>IF(基数!B17=94800000,"一致","不一致")</f>
        <v/>
      </c>
      <c r="C15" s="2" t="n"/>
      <c r="D15" s="2" t="n"/>
    </row>
    <row r="16">
      <c r="A16" s="5" t="inlineStr">
        <is>
          <t>停工可省比例</t>
        </is>
      </c>
      <c r="B16" s="16">
        <f>IF(ABS(派生!B5-0.44)&lt;0.0000001,"一致","不一致")</f>
        <v/>
      </c>
      <c r="C16" s="2" t="n"/>
      <c r="D16" s="2" t="n"/>
    </row>
  </sheetData>
  <autoFilter ref="A3:D7"/>
  <pageMargins left="0.5" right="0.5" top="0.7" bottom="0.6" header="0.5" footer="0.5"/>
  <pageSetup orientation="landscape" paperSize="9" fitToHeight="1" fitToWidth="1"/>
  <headerFooter>
    <oddHeader>&amp;L产量成本模拟 · 示例&amp;C桥</oddHeader>
    <oddFooter>&amp;LTZ-cfg-2026.10-示例 · 示例数据，不是工厂实绩&amp;R第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2026-10-24T17:06:01Z</dcterms:created>
  <dcterms:modified xmlns:dcterms="http://purl.org/dc/terms/" xmlns:xsi="http://www.w3.org/2001/XMLSchema-instance" xsi:type="dcterms:W3CDTF">2026-10-24T17:06:01Z</dcterms:modified>
</cp:coreProperties>
</file>